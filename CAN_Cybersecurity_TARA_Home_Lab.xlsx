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ontrols Home Lab\automotive-can-tara-lab\evidence\"/>
    </mc:Choice>
  </mc:AlternateContent>
  <xr:revisionPtr revIDLastSave="0" documentId="13_ncr:1_{F04C450F-20C5-4462-A11E-B631133345F2}" xr6:coauthVersionLast="47" xr6:coauthVersionMax="47" xr10:uidLastSave="{00000000-0000-0000-0000-000000000000}"/>
  <bookViews>
    <workbookView xWindow="-110" yWindow="-110" windowWidth="19420" windowHeight="10300" firstSheet="4" activeTab="6" xr2:uid="{00000000-000D-0000-FFFF-FFFF00000000}"/>
  </bookViews>
  <sheets>
    <sheet name="Executive Summary" sheetId="1" r:id="rId1"/>
    <sheet name="Normal CAN Baseline" sheetId="2" r:id="rId2"/>
    <sheet name="Attacked CAN Data" sheetId="3" r:id="rId3"/>
    <sheet name="Detection Rules" sheetId="4" r:id="rId4"/>
    <sheet name="Detection Results" sheetId="5" r:id="rId5"/>
    <sheet name="Risk Matrix" sheetId="7" r:id="rId6"/>
    <sheet name="TARA Assessment" sheetId="6" r:id="rId7"/>
    <sheet name="Security Controls" sheetId="8" r:id="rId8"/>
  </sheets>
  <definedNames>
    <definedName name="_xlnm._FilterDatabase" localSheetId="7" hidden="1">'Security Controls'!$F$1:$F$11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5" l="1"/>
  <c r="F9" i="5"/>
  <c r="H9" i="5" s="1"/>
  <c r="I9" i="5" s="1"/>
  <c r="F8" i="5"/>
  <c r="H8" i="5" s="1"/>
  <c r="I8" i="5" s="1"/>
  <c r="F6" i="5"/>
  <c r="H12" i="5"/>
  <c r="G12" i="5"/>
  <c r="F10" i="5"/>
  <c r="H10" i="5" s="1"/>
  <c r="I10" i="5" s="1"/>
  <c r="F13" i="5"/>
  <c r="H13" i="5" s="1"/>
  <c r="I13" i="5" s="1"/>
  <c r="G13" i="5"/>
  <c r="F12" i="5"/>
  <c r="G11" i="5"/>
  <c r="F11" i="5"/>
  <c r="H11" i="5" s="1"/>
  <c r="I11" i="5" s="1"/>
  <c r="G10" i="5"/>
  <c r="G9" i="5"/>
  <c r="G8" i="5"/>
  <c r="G7" i="5"/>
  <c r="F7" i="5"/>
  <c r="H7" i="5" s="1"/>
  <c r="I7" i="5" s="1"/>
  <c r="H6" i="5" l="1"/>
  <c r="I12" i="5"/>
  <c r="I6" i="5"/>
  <c r="G14" i="1"/>
  <c r="G15" i="1"/>
  <c r="G16" i="1"/>
</calcChain>
</file>

<file path=xl/sharedStrings.xml><?xml version="1.0" encoding="utf-8"?>
<sst xmlns="http://schemas.openxmlformats.org/spreadsheetml/2006/main" count="319" uniqueCount="184">
  <si>
    <t>Automotive CAN Cybersecurity Home Lab</t>
  </si>
  <si>
    <t>HIGH</t>
  </si>
  <si>
    <t>Step</t>
  </si>
  <si>
    <t>Phase</t>
  </si>
  <si>
    <t>What it means</t>
  </si>
  <si>
    <t>Detection Category</t>
  </si>
  <si>
    <t>Count</t>
  </si>
  <si>
    <t>Establish Baseline</t>
  </si>
  <si>
    <t>Normal Messages</t>
  </si>
  <si>
    <t>Analyze Traffic</t>
  </si>
  <si>
    <t>Compare observed CAN traffic against the expected baseline.</t>
  </si>
  <si>
    <t>Abnormal Speed</t>
  </si>
  <si>
    <t>Detect Anomalies</t>
  </si>
  <si>
    <t>Flag unknown CAN IDs and abnormal signal values automatically.</t>
  </si>
  <si>
    <t>Unknown CAN ID</t>
  </si>
  <si>
    <t>Investigate</t>
  </si>
  <si>
    <t>Preserve the relevant message, timestamp, ECU, and detection reason.</t>
  </si>
  <si>
    <t>Perform / Update TARA</t>
  </si>
  <si>
    <t>Assess asset, threat scenario, impact, attack feasibility, and risk.</t>
  </si>
  <si>
    <t>Define Controls</t>
  </si>
  <si>
    <t>Recommend monitoring, authentication, freshness, allowlisting, and alerting.</t>
  </si>
  <si>
    <t>Normal CAN Baseline</t>
  </si>
  <si>
    <t>Timestamp</t>
  </si>
  <si>
    <t>CAN ID</t>
  </si>
  <si>
    <t>ECU</t>
  </si>
  <si>
    <t>Data</t>
  </si>
  <si>
    <t>Status</t>
  </si>
  <si>
    <t>09:00:01</t>
  </si>
  <si>
    <t>0x100</t>
  </si>
  <si>
    <t>Engine ECU</t>
  </si>
  <si>
    <t>Speed=60</t>
  </si>
  <si>
    <t>NORMAL</t>
  </si>
  <si>
    <t>09:00:02</t>
  </si>
  <si>
    <t>0x200</t>
  </si>
  <si>
    <t>Brake ECU</t>
  </si>
  <si>
    <t>Brake=OFF</t>
  </si>
  <si>
    <t>09:00:03</t>
  </si>
  <si>
    <t>0x300</t>
  </si>
  <si>
    <t>Gateway ECU</t>
  </si>
  <si>
    <t>Status=NORMAL</t>
  </si>
  <si>
    <t>09:00:04</t>
  </si>
  <si>
    <t>Speed=61</t>
  </si>
  <si>
    <t>09:00:05</t>
  </si>
  <si>
    <t>09:00:06</t>
  </si>
  <si>
    <t>Attacked / Injected CAN Data</t>
  </si>
  <si>
    <t>Source Status</t>
  </si>
  <si>
    <t>09:00:07</t>
  </si>
  <si>
    <t>Speed=250</t>
  </si>
  <si>
    <t>09:00:08</t>
  </si>
  <si>
    <t>0x999</t>
  </si>
  <si>
    <t>Unknown ECU</t>
  </si>
  <si>
    <t>Detection Rules &amp; Assumptions</t>
  </si>
  <si>
    <t>Simple home-lab rules used by the automated detection logic. Production thresholds should come from engineering specifications.</t>
  </si>
  <si>
    <t>Approved CAN ID</t>
  </si>
  <si>
    <t>Expected ECU</t>
  </si>
  <si>
    <t>Rule / Assumption</t>
  </si>
  <si>
    <t>Value</t>
  </si>
  <si>
    <t>Critical anomaly monitoring</t>
  </si>
  <si>
    <t>Continuous / Near Real-Time</t>
  </si>
  <si>
    <t>Alert trend review</t>
  </si>
  <si>
    <t>Daily / Weekly</t>
  </si>
  <si>
    <t>TARA review trigger</t>
  </si>
  <si>
    <t>New threat, anomaly, vulnerability, or system change</t>
  </si>
  <si>
    <t>Risk scale</t>
  </si>
  <si>
    <t>Low / Medium / High</t>
  </si>
  <si>
    <t>Automated CAN Anomaly Detection</t>
  </si>
  <si>
    <t>CAN ID Check</t>
  </si>
  <si>
    <t>Signal Value Check</t>
  </si>
  <si>
    <t>Detection Result</t>
  </si>
  <si>
    <t>TARA Trigger</t>
  </si>
  <si>
    <t>Simplified TARA – CAN Message Injection</t>
  </si>
  <si>
    <t>Training-oriented threat analysis based on the detected abnormal speed and unknown CAN ID.</t>
  </si>
  <si>
    <t>TARA Step</t>
  </si>
  <si>
    <t>Question</t>
  </si>
  <si>
    <t>Evidence</t>
  </si>
  <si>
    <t>Rating</t>
  </si>
  <si>
    <t>Decision / Output</t>
  </si>
  <si>
    <t>1. Define System</t>
  </si>
  <si>
    <t>What system is in scope?</t>
  </si>
  <si>
    <t>Simplified CAN network containing Engine, Brake, and Gateway ECUs.</t>
  </si>
  <si>
    <t>—</t>
  </si>
  <si>
    <t>CAN communication is the assessment scope.</t>
  </si>
  <si>
    <t>2. Identify Assets</t>
  </si>
  <si>
    <t>What needs protection?</t>
  </si>
  <si>
    <t>Engine data, brake data, and the integrity/authenticity of CAN communication.</t>
  </si>
  <si>
    <t>0x100 / 0x200 / 0x300 baseline</t>
  </si>
  <si>
    <t>High Importance</t>
  </si>
  <si>
    <t>Protect trusted vehicle communication.</t>
  </si>
  <si>
    <t>3. Threat Scenario 1</t>
  </si>
  <si>
    <t>What suspicious behavior occurred?</t>
  </si>
  <si>
    <t>A legitimate CAN ID (0x100) carried an abnormal Speed=250 value.</t>
  </si>
  <si>
    <t>09:00:07 | 0x100 | Speed=250</t>
  </si>
  <si>
    <t>High</t>
  </si>
  <si>
    <t>4. Threat Scenario 2</t>
  </si>
  <si>
    <t>An unknown CAN ID (0x999) appeared with Brake=OFF.</t>
  </si>
  <si>
    <t>09:00:08 | 0x999 | Brake=OFF</t>
  </si>
  <si>
    <t>Potential unauthorized message injection.</t>
  </si>
  <si>
    <t>5. Damage Scenario</t>
  </si>
  <si>
    <t>What could happen if trusted?</t>
  </si>
  <si>
    <t>Receiving ECUs could make decisions using incorrect vehicle information.</t>
  </si>
  <si>
    <t>Detected CAN anomalies</t>
  </si>
  <si>
    <t>Potential operational / safety impact.</t>
  </si>
  <si>
    <t>6. Attack Path</t>
  </si>
  <si>
    <t>How might the threat reach the system?</t>
  </si>
  <si>
    <t>Lab attack scenario</t>
  </si>
  <si>
    <t>Medium</t>
  </si>
  <si>
    <t>Investigate entry point and affected communication path.</t>
  </si>
  <si>
    <t>7. Impact</t>
  </si>
  <si>
    <t>How serious is the consequence?</t>
  </si>
  <si>
    <t>Safety = High; Operational = High; Financial = Medium; Privacy = Low.</t>
  </si>
  <si>
    <t>Impact assessment</t>
  </si>
  <si>
    <t>Safety and operational impact drive priority.</t>
  </si>
  <si>
    <t>What is the resulting risk?</t>
  </si>
  <si>
    <t>High impact + Medium feasibility = High risk in this simplified matrix.</t>
  </si>
  <si>
    <t>Risk Matrix sheet</t>
  </si>
  <si>
    <t>What must engineering achieve?</t>
  </si>
  <si>
    <t>Security Controls sheet</t>
  </si>
  <si>
    <t>High Priority</t>
  </si>
  <si>
    <t>Implement and verify security controls.</t>
  </si>
  <si>
    <t>When should TARA be revisited?</t>
  </si>
  <si>
    <t>When new anomalies, vulnerabilities, attack paths, or system changes are identified.</t>
  </si>
  <si>
    <t>Detection + engineering changes</t>
  </si>
  <si>
    <t>Ongoing</t>
  </si>
  <si>
    <t>Update risk assessment and controls.</t>
  </si>
  <si>
    <t>Simplified Home-Lab Risk Matrix</t>
  </si>
  <si>
    <t>Training matrix only. Actual automotive programs may use a more detailed organizational / ISO/SAE 21434-aligned methodology.</t>
  </si>
  <si>
    <t>Impact \ Feasibility</t>
  </si>
  <si>
    <t>Low</t>
  </si>
  <si>
    <t>HIGH ← Home Lab</t>
  </si>
  <si>
    <t>HOME LAB POSITION</t>
  </si>
  <si>
    <t>Impact</t>
  </si>
  <si>
    <t>Attack Feasibility</t>
  </si>
  <si>
    <t>Overall Risk</t>
  </si>
  <si>
    <t>Risk Treatment</t>
  </si>
  <si>
    <t>Mitigate</t>
  </si>
  <si>
    <t>Recommended Cybersecurity Controls</t>
  </si>
  <si>
    <t>Control ID</t>
  </si>
  <si>
    <t>Security Control</t>
  </si>
  <si>
    <t>Purpose</t>
  </si>
  <si>
    <t>Home Lab / Production Example</t>
  </si>
  <si>
    <t>Priority</t>
  </si>
  <si>
    <t>SC-01</t>
  </si>
  <si>
    <t>CAN ID Allowlisting</t>
  </si>
  <si>
    <t>Detect unexpected CAN identifiers.</t>
  </si>
  <si>
    <t>Implemented in Lab</t>
  </si>
  <si>
    <t>SC-02</t>
  </si>
  <si>
    <t>Signal Plausibility Check</t>
  </si>
  <si>
    <t>Detect values outside expected engineering limits.</t>
  </si>
  <si>
    <t>Flag Speed=250 when lab threshold is 120.</t>
  </si>
  <si>
    <t>SC-03</t>
  </si>
  <si>
    <t>Message Authentication</t>
  </si>
  <si>
    <t>Help verify that protected messages come from an authorized sender.</t>
  </si>
  <si>
    <t>Use protected authenticated communication for security-sensitive signals.</t>
  </si>
  <si>
    <t>Recommended</t>
  </si>
  <si>
    <t>SC-04</t>
  </si>
  <si>
    <t>SC-05</t>
  </si>
  <si>
    <t>Network Monitoring / IDS</t>
  </si>
  <si>
    <t>Continuously monitor CAN behavior for anomalies.</t>
  </si>
  <si>
    <t>SC-06</t>
  </si>
  <si>
    <t>Security Logging</t>
  </si>
  <si>
    <t>Preserve evidence for investigation and escalation.</t>
  </si>
  <si>
    <t>Store timestamp, CAN ID, ECU, data, and detection reason.</t>
  </si>
  <si>
    <t>TARA Reassessment Trigger</t>
  </si>
  <si>
    <t>Keep risk assessment current when the system or threat changes.</t>
  </si>
  <si>
    <t>Update TARA after meaningful findings or design changes.</t>
  </si>
  <si>
    <r>
      <rPr>
        <b/>
        <sz val="11"/>
        <rFont val="Carlito"/>
      </rPr>
      <t>The Scope -</t>
    </r>
    <r>
      <rPr>
        <sz val="11"/>
        <rFont val="Carlito"/>
      </rPr>
      <t xml:space="preserve"> To simulate a small automotive CAN network with three ECUs (Engine ECU, Brake ECU, and Gateway ECU). The assessment focuses on establishing normal CAN communication, identifying suspicious or injected CAN messages using basic automated checks, and evaluating the resulting cybersecurity risk through a simplified Threat Analysis and Risk Assessment (TARA).</t>
    </r>
  </si>
  <si>
    <r>
      <rPr>
        <b/>
        <sz val="11"/>
        <rFont val="Carlito"/>
      </rPr>
      <t>Objective -</t>
    </r>
    <r>
      <rPr>
        <sz val="11"/>
        <rFont val="Carlito"/>
      </rPr>
      <t xml:space="preserve"> To demonstrate how abnormal vehicle communication can be detected, assessed for potential safety and operational impact, and addressed through appropriate cyber controls.</t>
    </r>
  </si>
  <si>
    <t>Approved &amp; legitimate CAN IDs and normal signal values.</t>
  </si>
  <si>
    <t>Home Lab CAN Count</t>
  </si>
  <si>
    <t>Maximum Speed Threshold</t>
  </si>
  <si>
    <t>Lab Assessment</t>
  </si>
  <si>
    <t>Formula-based checks compare each observed message to the approved baseline and signal threshold.</t>
  </si>
  <si>
    <t>Approved/expected CAN communication as per "can_message.csv" file.</t>
  </si>
  <si>
    <t>Observed CAN traffic containing the original baseline plus two simulated suspicious messages. (Ref - "attacked_can_messages.csv" file.)</t>
  </si>
  <si>
    <t>Potential data manipulation by threat actor</t>
  </si>
  <si>
    <t>Attacker gains unauthorized CAN baselines access, and injects a message</t>
  </si>
  <si>
    <t>8. Overall Risk</t>
  </si>
  <si>
    <t>9. Cybersecurity Goals</t>
  </si>
  <si>
    <t>10. Monitoring / Reassessment</t>
  </si>
  <si>
    <t>Detect abnormal values and unknown IDs, strengthen trust, notify the responsible teams</t>
  </si>
  <si>
    <t>Controls derived from the TARA. Some are implemented in this home lab and others represent production-oriented recommendations.</t>
  </si>
  <si>
    <t>Flag IDs not present in approved baseline. They are mentioned in a separate "attacked_can_messages" csv file</t>
  </si>
  <si>
    <t>Generate alerts/ setup dashboards for investigation.</t>
  </si>
  <si>
    <t>CAN message injection risk should be mitigated immediately.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</si>
</sst>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20"/>
      <color rgb="FFFFFFFF"/>
      <name val="Carlito"/>
    </font>
    <font>
      <i/>
      <sz val="10"/>
      <color rgb="FF1F2937"/>
      <name val="Carlito"/>
    </font>
    <font>
      <b/>
      <sz val="11"/>
      <color rgb="FFFFFFFF"/>
      <name val="Carlito"/>
    </font>
    <font>
      <sz val="10"/>
      <color rgb="FF1F2937"/>
      <name val="Carlito"/>
    </font>
    <font>
      <b/>
      <sz val="10"/>
      <color rgb="FFC00000"/>
      <name val="Carlito"/>
    </font>
    <font>
      <sz val="11"/>
      <color rgb="FF1F2937"/>
      <name val="Carlito"/>
    </font>
    <font>
      <b/>
      <sz val="11"/>
      <color rgb="FF1F2937"/>
      <name val="Carlito"/>
    </font>
    <font>
      <b/>
      <sz val="10"/>
      <color rgb="FF1F2937"/>
      <name val="Carlito"/>
    </font>
    <font>
      <b/>
      <sz val="11"/>
      <name val="Carlito"/>
    </font>
  </fonts>
  <fills count="10">
    <fill>
      <patternFill patternType="none"/>
    </fill>
    <fill>
      <patternFill patternType="gray125"/>
    </fill>
    <fill>
      <patternFill patternType="solid">
        <fgColor rgb="FF16324F"/>
      </patternFill>
    </fill>
    <fill>
      <patternFill patternType="solid">
        <fgColor rgb="FFD9EAF7"/>
      </patternFill>
    </fill>
    <fill>
      <patternFill patternType="solid">
        <fgColor rgb="FF0F6B6D"/>
      </patternFill>
    </fill>
    <fill>
      <patternFill patternType="solid">
        <fgColor rgb="FFFCE8E6"/>
      </patternFill>
    </fill>
    <fill>
      <patternFill patternType="solid">
        <fgColor rgb="FFFFF2CC"/>
      </patternFill>
    </fill>
    <fill>
      <patternFill patternType="solid">
        <fgColor rgb="FFE2F0D9"/>
      </patternFill>
    </fill>
    <fill>
      <patternFill patternType="solid">
        <fgColor theme="4" tint="0.79998168889431442"/>
        <bgColor indexed="64"/>
      </patternFill>
    </fill>
    <fill>
      <patternFill patternType="solid">
        <fgColor theme="3" tint="0.749992370372631"/>
        <bgColor indexed="64"/>
      </patternFill>
    </fill>
  </fills>
  <borders count="1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3" fillId="4" borderId="0" xfId="0" applyFont="1" applyFill="1" applyAlignment="1">
      <alignment horizontal="center" vertical="center"/>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4" fillId="0" borderId="0" xfId="0" applyFont="1" applyAlignment="1">
      <alignment vertical="center" wrapText="1"/>
    </xf>
    <xf numFmtId="0" fontId="4" fillId="0" borderId="4" xfId="0" applyFont="1" applyBorder="1" applyAlignment="1">
      <alignment vertical="center" wrapText="1"/>
    </xf>
    <xf numFmtId="0" fontId="5" fillId="5" borderId="0" xfId="0" applyFont="1" applyFill="1" applyAlignment="1">
      <alignment vertical="center" wrapText="1"/>
    </xf>
    <xf numFmtId="0" fontId="5" fillId="5" borderId="5" xfId="0" applyFont="1" applyFill="1" applyBorder="1" applyAlignment="1">
      <alignment vertical="center" wrapText="1"/>
    </xf>
    <xf numFmtId="0" fontId="5" fillId="5" borderId="6" xfId="0" applyFont="1" applyFill="1" applyBorder="1" applyAlignment="1">
      <alignment vertical="center" wrapText="1"/>
    </xf>
    <xf numFmtId="0" fontId="7" fillId="7" borderId="7" xfId="0" applyFont="1" applyFill="1" applyBorder="1" applyAlignment="1">
      <alignment horizontal="center" vertical="center" wrapText="1"/>
    </xf>
    <xf numFmtId="0" fontId="7" fillId="7" borderId="8" xfId="0" applyFont="1" applyFill="1" applyBorder="1" applyAlignment="1">
      <alignment horizontal="center" vertical="center" wrapText="1"/>
    </xf>
    <xf numFmtId="0" fontId="7" fillId="7" borderId="10" xfId="0" applyFont="1" applyFill="1" applyBorder="1" applyAlignment="1">
      <alignment horizontal="center" vertical="center" wrapText="1"/>
    </xf>
    <xf numFmtId="0" fontId="7" fillId="6" borderId="9" xfId="0" applyFont="1" applyFill="1" applyBorder="1" applyAlignment="1">
      <alignment horizontal="center" vertical="center" wrapText="1"/>
    </xf>
    <xf numFmtId="0" fontId="7" fillId="6" borderId="0" xfId="0" applyFont="1" applyFill="1" applyAlignment="1">
      <alignment horizontal="center" vertical="center" wrapText="1"/>
    </xf>
    <xf numFmtId="0" fontId="7" fillId="6" borderId="12" xfId="0" applyFont="1" applyFill="1" applyBorder="1" applyAlignment="1">
      <alignment horizontal="center" vertical="center" wrapText="1"/>
    </xf>
    <xf numFmtId="0" fontId="7" fillId="5" borderId="11" xfId="0" applyFont="1" applyFill="1" applyBorder="1" applyAlignment="1">
      <alignment horizontal="center" vertical="center" wrapText="1"/>
    </xf>
    <xf numFmtId="0" fontId="7" fillId="5" borderId="13" xfId="0" applyFont="1" applyFill="1" applyBorder="1" applyAlignment="1">
      <alignment horizontal="center" vertical="center" wrapText="1"/>
    </xf>
    <xf numFmtId="0" fontId="7" fillId="5" borderId="14" xfId="0" applyFont="1" applyFill="1" applyBorder="1" applyAlignment="1">
      <alignment horizontal="center" vertical="center" wrapText="1"/>
    </xf>
    <xf numFmtId="0" fontId="8" fillId="3" borderId="0" xfId="0" applyFont="1" applyFill="1" applyAlignment="1">
      <alignment vertical="center" wrapText="1"/>
    </xf>
    <xf numFmtId="0" fontId="8" fillId="3" borderId="4" xfId="0" applyFont="1" applyFill="1" applyBorder="1" applyAlignment="1">
      <alignment vertical="center" wrapText="1"/>
    </xf>
    <xf numFmtId="0" fontId="3" fillId="0" borderId="0" xfId="0" applyFont="1" applyAlignment="1">
      <alignment vertical="center"/>
    </xf>
    <xf numFmtId="0" fontId="4" fillId="0" borderId="0" xfId="0" applyFont="1" applyAlignment="1">
      <alignment vertical="top" wrapText="1"/>
    </xf>
    <xf numFmtId="0" fontId="3" fillId="0" borderId="0" xfId="0" applyFont="1"/>
    <xf numFmtId="0" fontId="0" fillId="0" borderId="15" xfId="0" applyBorder="1" applyAlignment="1">
      <alignment horizontal="center" vertical="center" wrapText="1"/>
    </xf>
    <xf numFmtId="0" fontId="4" fillId="0" borderId="18" xfId="0" applyFont="1" applyBorder="1" applyAlignment="1">
      <alignment horizontal="center" vertical="center" wrapText="1"/>
    </xf>
    <xf numFmtId="0" fontId="4" fillId="0" borderId="18" xfId="0" applyFont="1" applyBorder="1" applyAlignment="1">
      <alignment vertical="center" wrapText="1"/>
    </xf>
    <xf numFmtId="0" fontId="3" fillId="4" borderId="18" xfId="0" applyFont="1" applyFill="1" applyBorder="1" applyAlignment="1">
      <alignment horizontal="center" vertical="center" wrapText="1"/>
    </xf>
    <xf numFmtId="0" fontId="6" fillId="0" borderId="0" xfId="0" applyFont="1" applyAlignment="1">
      <alignment vertical="center" wrapText="1"/>
    </xf>
    <xf numFmtId="0" fontId="4" fillId="6" borderId="18" xfId="0" applyFont="1" applyFill="1" applyBorder="1" applyAlignment="1">
      <alignment vertical="center" wrapText="1"/>
    </xf>
    <xf numFmtId="0" fontId="4" fillId="6" borderId="18" xfId="0" applyFont="1" applyFill="1" applyBorder="1" applyAlignment="1">
      <alignment horizontal="left" vertical="center" wrapText="1"/>
    </xf>
    <xf numFmtId="0" fontId="1" fillId="2" borderId="0" xfId="0" applyFont="1" applyFill="1" applyAlignment="1">
      <alignment horizontal="left" vertical="center"/>
    </xf>
    <xf numFmtId="0" fontId="2" fillId="3" borderId="0" xfId="0" applyFont="1" applyFill="1" applyAlignment="1">
      <alignment vertical="center" wrapText="1"/>
    </xf>
    <xf numFmtId="0" fontId="3" fillId="2" borderId="0" xfId="0" applyFont="1" applyFill="1"/>
    <xf numFmtId="0" fontId="0" fillId="8" borderId="17" xfId="0" applyFill="1" applyBorder="1" applyAlignment="1">
      <alignment horizontal="center" vertical="center" wrapText="1"/>
    </xf>
    <xf numFmtId="0" fontId="0" fillId="8" borderId="15" xfId="0" applyFill="1" applyBorder="1" applyAlignment="1">
      <alignment horizontal="center" vertical="center" wrapText="1"/>
    </xf>
    <xf numFmtId="0" fontId="0" fillId="9" borderId="15" xfId="0" applyFill="1" applyBorder="1" applyAlignment="1">
      <alignment horizontal="center" vertical="center" wrapText="1"/>
    </xf>
    <xf numFmtId="0" fontId="0" fillId="0" borderId="18" xfId="0" applyBorder="1" applyAlignment="1">
      <alignment horizontal="center" vertical="center"/>
    </xf>
    <xf numFmtId="0" fontId="2" fillId="0" borderId="16" xfId="0" applyFont="1" applyBorder="1" applyAlignment="1">
      <alignment vertical="center" wrapText="1"/>
    </xf>
  </cellXfs>
  <cellStyles count="1">
    <cellStyle name="Normal" xfId="0" builtinId="0"/>
  </cellStyles>
  <dxfs count="11">
    <dxf>
      <font>
        <b/>
        <color rgb="FF548235"/>
      </font>
      <fill>
        <patternFill patternType="solid">
          <bgColor rgb="FFE2F0D9"/>
        </patternFill>
      </fill>
    </dxf>
    <dxf>
      <font>
        <b/>
        <color rgb="FFBF7B00"/>
      </font>
      <fill>
        <patternFill patternType="solid">
          <bgColor rgb="FFFFF2CC"/>
        </patternFill>
      </fill>
    </dxf>
    <dxf>
      <font>
        <b/>
        <color rgb="FFC00000"/>
      </font>
      <fill>
        <patternFill patternType="solid">
          <bgColor rgb="FFFCE8E6"/>
        </patternFill>
      </fill>
    </dxf>
    <dxf>
      <font>
        <b/>
        <color rgb="FFBF7B00"/>
      </font>
      <fill>
        <patternFill patternType="solid">
          <bgColor rgb="FFFFF2CC"/>
        </patternFill>
      </fill>
    </dxf>
    <dxf>
      <font>
        <b/>
        <color rgb="FFC00000"/>
      </font>
      <fill>
        <patternFill patternType="solid">
          <bgColor rgb="FFFCE8E6"/>
        </patternFill>
      </fill>
    </dxf>
    <dxf>
      <font>
        <b/>
        <color rgb="FFBF7B00"/>
      </font>
      <fill>
        <patternFill patternType="solid">
          <bgColor rgb="FFFFF2CC"/>
        </patternFill>
      </fill>
    </dxf>
    <dxf>
      <font>
        <color rgb="FF548235"/>
      </font>
      <fill>
        <patternFill patternType="solid">
          <bgColor rgb="FFE2F0D9"/>
        </patternFill>
      </fill>
    </dxf>
    <dxf>
      <font>
        <b/>
        <color rgb="FFC00000"/>
      </font>
      <fill>
        <patternFill patternType="solid">
          <bgColor rgb="FFFCE8E6"/>
        </patternFill>
      </fill>
    </dxf>
    <dxf>
      <font>
        <b/>
        <color rgb="FFC00000"/>
      </font>
      <fill>
        <patternFill patternType="solid">
          <bgColor rgb="FFFCE8E6"/>
        </patternFill>
      </fill>
    </dxf>
    <dxf>
      <font>
        <b/>
        <color rgb="FFC00000"/>
      </font>
      <fill>
        <patternFill patternType="solid">
          <bgColor rgb="FFFCE8E6"/>
        </patternFill>
      </fill>
    </dxf>
    <dxf>
      <font>
        <b/>
        <color rgb="FF548235"/>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CAN Detection Outcome</a:t>
            </a:r>
          </a:p>
        </c:rich>
      </c:tx>
      <c:overlay val="1"/>
    </c:title>
    <c:autoTitleDeleted val="0"/>
    <c:plotArea>
      <c:layout/>
      <c:barChart>
        <c:barDir val="col"/>
        <c:grouping val="clustered"/>
        <c:varyColors val="0"/>
        <c:ser>
          <c:idx val="0"/>
          <c:order val="0"/>
          <c:tx>
            <c:v>Count</c:v>
          </c:tx>
          <c:invertIfNegative val="1"/>
          <c:cat>
            <c:strRef>
              <c:f>'Executive Summary'!$F$14:$F$16</c:f>
              <c:strCache>
                <c:ptCount val="3"/>
                <c:pt idx="0">
                  <c:v>Normal Messages</c:v>
                </c:pt>
                <c:pt idx="1">
                  <c:v>Abnormal Speed</c:v>
                </c:pt>
                <c:pt idx="2">
                  <c:v>Unknown CAN ID</c:v>
                </c:pt>
              </c:strCache>
            </c:strRef>
          </c:cat>
          <c:val>
            <c:numRef>
              <c:f>'Executive Summary'!$G$14:$G$16</c:f>
              <c:numCache>
                <c:formatCode>General</c:formatCode>
                <c:ptCount val="3"/>
                <c:pt idx="0">
                  <c:v>6</c:v>
                </c:pt>
                <c:pt idx="1">
                  <c:v>1</c:v>
                </c:pt>
                <c:pt idx="2">
                  <c:v>1</c:v>
                </c:pt>
              </c:numCache>
            </c:numRef>
          </c:val>
          <c:extLst>
            <c:ext xmlns:c16="http://schemas.microsoft.com/office/drawing/2014/chart" uri="{C3380CC4-5D6E-409C-BE32-E72D297353CC}">
              <c16:uniqueId val="{00000000-7011-4C17-AE50-3CE51A515F3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16</xdr:row>
      <xdr:rowOff>0</xdr:rowOff>
    </xdr:from>
    <xdr:to>
      <xdr:col>10</xdr:col>
      <xdr:colOff>0</xdr:colOff>
      <xdr:row>32</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ormalCANBaselineTable" displayName="NormalCANBaselineTable" ref="A5:E11" totalsRowShown="0">
  <tableColumns count="5">
    <tableColumn id="1" xr3:uid="{00000000-0010-0000-0000-000001000000}" name="Timestamp"/>
    <tableColumn id="2" xr3:uid="{00000000-0010-0000-0000-000002000000}" name="CAN ID"/>
    <tableColumn id="3" xr3:uid="{00000000-0010-0000-0000-000003000000}" name="ECU"/>
    <tableColumn id="4" xr3:uid="{00000000-0010-0000-0000-000004000000}" name="Data"/>
    <tableColumn id="5" xr3:uid="{00000000-0010-0000-0000-000005000000}"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ttackedCANDataTable" displayName="AttackedCANDataTable" ref="A5:E13" totalsRowShown="0">
  <tableColumns count="5">
    <tableColumn id="1" xr3:uid="{00000000-0010-0000-0100-000001000000}" name="Timestamp"/>
    <tableColumn id="2" xr3:uid="{00000000-0010-0000-0100-000002000000}" name="CAN ID"/>
    <tableColumn id="3" xr3:uid="{00000000-0010-0000-0100-000003000000}" name="ECU"/>
    <tableColumn id="4" xr3:uid="{00000000-0010-0000-0100-000004000000}" name="Data"/>
    <tableColumn id="5" xr3:uid="{00000000-0010-0000-0100-000005000000}" name="Source 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ANDetectionResultsTable" displayName="CANDetectionResultsTable" ref="A5:I13" totalsRowShown="0">
  <tableColumns count="9">
    <tableColumn id="1" xr3:uid="{00000000-0010-0000-0200-000001000000}" name="Timestamp"/>
    <tableColumn id="2" xr3:uid="{00000000-0010-0000-0200-000002000000}" name="CAN ID"/>
    <tableColumn id="3" xr3:uid="{00000000-0010-0000-0200-000003000000}" name="ECU"/>
    <tableColumn id="4" xr3:uid="{00000000-0010-0000-0200-000004000000}" name="Data"/>
    <tableColumn id="5" xr3:uid="{00000000-0010-0000-0200-000005000000}" name="Source Status"/>
    <tableColumn id="6" xr3:uid="{00000000-0010-0000-0200-000006000000}" name="CAN ID Check"/>
    <tableColumn id="7" xr3:uid="{00000000-0010-0000-0200-000007000000}" name="Signal Value Check"/>
    <tableColumn id="8" xr3:uid="{00000000-0010-0000-0200-000008000000}" name="Detection Result"/>
    <tableColumn id="9" xr3:uid="{00000000-0010-0000-0200-000009000000}" name="TARA Trigger"/>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
  <sheetViews>
    <sheetView topLeftCell="A10" zoomScale="90" zoomScaleNormal="90" workbookViewId="0">
      <selection activeCell="F12" sqref="F12:G12"/>
    </sheetView>
  </sheetViews>
  <sheetFormatPr defaultRowHeight="14"/>
  <cols>
    <col min="1" max="1" width="8" customWidth="1"/>
    <col min="2" max="2" width="24" customWidth="1"/>
    <col min="3" max="3" width="54" customWidth="1"/>
    <col min="4" max="5" width="14" customWidth="1"/>
    <col min="6" max="6" width="24" customWidth="1"/>
    <col min="7" max="10" width="16" customWidth="1"/>
  </cols>
  <sheetData>
    <row r="1" spans="1:10">
      <c r="A1" s="31" t="s">
        <v>0</v>
      </c>
      <c r="B1" s="31"/>
      <c r="C1" s="31"/>
      <c r="D1" s="31"/>
      <c r="E1" s="31"/>
      <c r="F1" s="31"/>
      <c r="G1" s="31"/>
      <c r="H1" s="31"/>
      <c r="I1" s="31"/>
      <c r="J1" s="31"/>
    </row>
    <row r="2" spans="1:10">
      <c r="A2" s="31"/>
      <c r="B2" s="31"/>
      <c r="C2" s="31"/>
      <c r="D2" s="31"/>
      <c r="E2" s="31"/>
      <c r="F2" s="31"/>
      <c r="G2" s="31"/>
      <c r="H2" s="31"/>
      <c r="I2" s="31"/>
      <c r="J2" s="31"/>
    </row>
    <row r="3" spans="1:10">
      <c r="A3" s="38"/>
      <c r="B3" s="38"/>
      <c r="C3" s="38"/>
      <c r="D3" s="38"/>
      <c r="E3" s="38"/>
      <c r="F3" s="38"/>
      <c r="G3" s="38"/>
      <c r="H3" s="38"/>
      <c r="I3" s="38"/>
      <c r="J3" s="38"/>
    </row>
    <row r="4" spans="1:10">
      <c r="A4" s="34" t="s">
        <v>165</v>
      </c>
      <c r="B4" s="34"/>
      <c r="C4" s="34"/>
      <c r="D4" s="34"/>
      <c r="E4" s="34"/>
    </row>
    <row r="5" spans="1:10" s="23" customFormat="1">
      <c r="A5" s="35"/>
      <c r="B5" s="35"/>
      <c r="C5" s="35"/>
      <c r="D5" s="35"/>
      <c r="E5" s="35"/>
    </row>
    <row r="6" spans="1:10" s="5" customFormat="1" ht="14" customHeight="1">
      <c r="A6" s="35"/>
      <c r="B6" s="35"/>
      <c r="C6" s="35"/>
      <c r="D6" s="35"/>
      <c r="E6" s="35"/>
    </row>
    <row r="7" spans="1:10" s="5" customFormat="1" ht="14" customHeight="1">
      <c r="A7" s="35"/>
      <c r="B7" s="35"/>
      <c r="C7" s="35"/>
      <c r="D7" s="35"/>
      <c r="E7" s="35"/>
    </row>
    <row r="8" spans="1:10">
      <c r="A8" s="35"/>
      <c r="B8" s="35"/>
      <c r="C8" s="35"/>
      <c r="D8" s="35"/>
      <c r="E8" s="35"/>
    </row>
    <row r="9" spans="1:10">
      <c r="A9" s="24"/>
      <c r="B9" s="24"/>
      <c r="C9" s="24"/>
      <c r="D9" s="24"/>
      <c r="E9" s="24"/>
    </row>
    <row r="10" spans="1:10" ht="55" customHeight="1">
      <c r="A10" s="36" t="s">
        <v>166</v>
      </c>
      <c r="B10" s="36"/>
      <c r="C10" s="36"/>
      <c r="D10" s="36"/>
      <c r="E10" s="36"/>
    </row>
    <row r="12" spans="1:10" ht="17.399999999999999" customHeight="1">
      <c r="A12" s="27" t="s">
        <v>2</v>
      </c>
      <c r="B12" s="27" t="s">
        <v>3</v>
      </c>
      <c r="C12" s="27" t="s">
        <v>4</v>
      </c>
      <c r="F12" s="37" t="s">
        <v>168</v>
      </c>
      <c r="G12" s="37"/>
    </row>
    <row r="13" spans="1:10">
      <c r="A13" s="25">
        <v>1</v>
      </c>
      <c r="B13" s="26" t="s">
        <v>7</v>
      </c>
      <c r="C13" s="26" t="s">
        <v>167</v>
      </c>
      <c r="F13" s="27" t="s">
        <v>5</v>
      </c>
      <c r="G13" s="27" t="s">
        <v>6</v>
      </c>
    </row>
    <row r="14" spans="1:10">
      <c r="A14" s="25">
        <v>2</v>
      </c>
      <c r="B14" s="26" t="s">
        <v>9</v>
      </c>
      <c r="C14" s="26" t="s">
        <v>10</v>
      </c>
      <c r="F14" s="25" t="s">
        <v>8</v>
      </c>
      <c r="G14" s="25">
        <f>COUNTIF('Detection Results'!H6:H1000,"NORMAL")</f>
        <v>6</v>
      </c>
    </row>
    <row r="15" spans="1:10">
      <c r="A15" s="25">
        <v>3</v>
      </c>
      <c r="B15" s="26" t="s">
        <v>12</v>
      </c>
      <c r="C15" s="26" t="s">
        <v>13</v>
      </c>
      <c r="F15" s="25" t="s">
        <v>11</v>
      </c>
      <c r="G15" s="25">
        <f>COUNTIF('Detection Results'!H6:H1000,"ALERT - ABNORMAL SPEED")</f>
        <v>1</v>
      </c>
    </row>
    <row r="16" spans="1:10" ht="25">
      <c r="A16" s="25">
        <v>4</v>
      </c>
      <c r="B16" s="26" t="s">
        <v>15</v>
      </c>
      <c r="C16" s="26" t="s">
        <v>16</v>
      </c>
      <c r="F16" s="25" t="s">
        <v>14</v>
      </c>
      <c r="G16" s="25">
        <f>COUNTIF('Detection Results'!H6:H1000,"ALERT - UNKNOWN CAN ID")</f>
        <v>1</v>
      </c>
    </row>
    <row r="17" spans="1:3">
      <c r="A17" s="25">
        <v>5</v>
      </c>
      <c r="B17" s="26" t="s">
        <v>17</v>
      </c>
      <c r="C17" s="26" t="s">
        <v>18</v>
      </c>
    </row>
    <row r="18" spans="1:3" ht="25">
      <c r="A18" s="25">
        <v>6</v>
      </c>
      <c r="B18" s="26" t="s">
        <v>19</v>
      </c>
      <c r="C18" s="26" t="s">
        <v>20</v>
      </c>
    </row>
    <row r="21" spans="1:3">
      <c r="A21" s="23"/>
      <c r="B21" s="23"/>
      <c r="C21" s="23"/>
    </row>
    <row r="22" spans="1:3">
      <c r="A22" s="22"/>
      <c r="B22" s="22"/>
      <c r="C22" s="22"/>
    </row>
    <row r="23" spans="1:3">
      <c r="A23" s="22"/>
      <c r="B23" s="22"/>
      <c r="C23" s="22"/>
    </row>
    <row r="24" spans="1:3">
      <c r="A24" s="22"/>
      <c r="B24" s="22"/>
      <c r="C24" s="22"/>
    </row>
    <row r="25" spans="1:3">
      <c r="A25" s="22"/>
      <c r="B25" s="22"/>
      <c r="C25" s="22"/>
    </row>
    <row r="26" spans="1:3">
      <c r="A26" s="22"/>
      <c r="B26" s="22"/>
      <c r="C26" s="22"/>
    </row>
    <row r="27" spans="1:3">
      <c r="A27" s="22"/>
      <c r="B27" s="22"/>
      <c r="C27" s="22"/>
    </row>
  </sheetData>
  <mergeCells count="5">
    <mergeCell ref="A4:E8"/>
    <mergeCell ref="A10:E10"/>
    <mergeCell ref="F12:G12"/>
    <mergeCell ref="A1:J2"/>
    <mergeCell ref="A3:J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workbookViewId="0">
      <selection activeCell="A3" sqref="A3:E3"/>
    </sheetView>
  </sheetViews>
  <sheetFormatPr defaultRowHeight="14"/>
  <cols>
    <col min="1" max="1" width="14" customWidth="1"/>
    <col min="2" max="2" width="12" customWidth="1"/>
    <col min="3" max="3" width="22" customWidth="1"/>
    <col min="4" max="4" width="24" customWidth="1"/>
    <col min="5" max="5" width="14" customWidth="1"/>
  </cols>
  <sheetData>
    <row r="1" spans="1:5">
      <c r="A1" s="31" t="s">
        <v>21</v>
      </c>
      <c r="B1" s="31"/>
      <c r="C1" s="31"/>
      <c r="D1" s="31"/>
      <c r="E1" s="31"/>
    </row>
    <row r="2" spans="1:5">
      <c r="A2" s="31"/>
      <c r="B2" s="31"/>
      <c r="C2" s="31"/>
      <c r="D2" s="31"/>
      <c r="E2" s="31"/>
    </row>
    <row r="3" spans="1:5">
      <c r="A3" s="32" t="s">
        <v>172</v>
      </c>
      <c r="B3" s="32"/>
      <c r="C3" s="32"/>
      <c r="D3" s="32"/>
      <c r="E3" s="32"/>
    </row>
    <row r="5" spans="1:5" ht="17.399999999999999" customHeight="1">
      <c r="A5" s="2" t="s">
        <v>22</v>
      </c>
      <c r="B5" s="3" t="s">
        <v>23</v>
      </c>
      <c r="C5" s="3" t="s">
        <v>24</v>
      </c>
      <c r="D5" s="3" t="s">
        <v>25</v>
      </c>
      <c r="E5" s="4" t="s">
        <v>26</v>
      </c>
    </row>
    <row r="6" spans="1:5">
      <c r="A6" s="5" t="s">
        <v>27</v>
      </c>
      <c r="B6" s="5" t="s">
        <v>28</v>
      </c>
      <c r="C6" s="5" t="s">
        <v>29</v>
      </c>
      <c r="D6" s="5" t="s">
        <v>30</v>
      </c>
      <c r="E6" s="5" t="s">
        <v>31</v>
      </c>
    </row>
    <row r="7" spans="1:5">
      <c r="A7" s="5" t="s">
        <v>32</v>
      </c>
      <c r="B7" s="5" t="s">
        <v>33</v>
      </c>
      <c r="C7" s="5" t="s">
        <v>34</v>
      </c>
      <c r="D7" s="5" t="s">
        <v>35</v>
      </c>
      <c r="E7" s="5" t="s">
        <v>31</v>
      </c>
    </row>
    <row r="8" spans="1:5">
      <c r="A8" s="5" t="s">
        <v>36</v>
      </c>
      <c r="B8" s="5" t="s">
        <v>37</v>
      </c>
      <c r="C8" s="5" t="s">
        <v>38</v>
      </c>
      <c r="D8" s="5" t="s">
        <v>39</v>
      </c>
      <c r="E8" s="5" t="s">
        <v>31</v>
      </c>
    </row>
    <row r="9" spans="1:5">
      <c r="A9" s="5" t="s">
        <v>40</v>
      </c>
      <c r="B9" s="5" t="s">
        <v>28</v>
      </c>
      <c r="C9" s="5" t="s">
        <v>29</v>
      </c>
      <c r="D9" s="5" t="s">
        <v>41</v>
      </c>
      <c r="E9" s="5" t="s">
        <v>31</v>
      </c>
    </row>
    <row r="10" spans="1:5">
      <c r="A10" s="5" t="s">
        <v>42</v>
      </c>
      <c r="B10" s="5" t="s">
        <v>33</v>
      </c>
      <c r="C10" s="5" t="s">
        <v>34</v>
      </c>
      <c r="D10" s="5" t="s">
        <v>35</v>
      </c>
      <c r="E10" s="5" t="s">
        <v>31</v>
      </c>
    </row>
    <row r="11" spans="1:5">
      <c r="A11" s="6" t="s">
        <v>43</v>
      </c>
      <c r="B11" s="6" t="s">
        <v>37</v>
      </c>
      <c r="C11" s="6" t="s">
        <v>38</v>
      </c>
      <c r="D11" s="6" t="s">
        <v>39</v>
      </c>
      <c r="E11" s="6" t="s">
        <v>31</v>
      </c>
    </row>
  </sheetData>
  <mergeCells count="2">
    <mergeCell ref="A1:E2"/>
    <mergeCell ref="A3:E3"/>
  </mergeCells>
  <conditionalFormatting sqref="E6:E11">
    <cfRule type="expression" dxfId="10" priority="1">
      <formula>E6="NORMAL"</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selection activeCell="F5" sqref="F5"/>
    </sheetView>
  </sheetViews>
  <sheetFormatPr defaultRowHeight="14"/>
  <cols>
    <col min="1" max="1" width="14" customWidth="1"/>
    <col min="2" max="2" width="12" customWidth="1"/>
    <col min="3" max="3" width="22" customWidth="1"/>
    <col min="4" max="4" width="24" customWidth="1"/>
    <col min="5" max="5" width="16" customWidth="1"/>
  </cols>
  <sheetData>
    <row r="1" spans="1:5">
      <c r="A1" s="31" t="s">
        <v>44</v>
      </c>
      <c r="B1" s="31"/>
      <c r="C1" s="31"/>
      <c r="D1" s="31"/>
      <c r="E1" s="31"/>
    </row>
    <row r="2" spans="1:5">
      <c r="A2" s="31"/>
      <c r="B2" s="31"/>
      <c r="C2" s="31"/>
      <c r="D2" s="31"/>
      <c r="E2" s="31"/>
    </row>
    <row r="3" spans="1:5" ht="28" customHeight="1">
      <c r="A3" s="32" t="s">
        <v>173</v>
      </c>
      <c r="B3" s="32"/>
      <c r="C3" s="32"/>
      <c r="D3" s="32"/>
      <c r="E3" s="32"/>
    </row>
    <row r="5" spans="1:5" ht="17.399999999999999" customHeight="1">
      <c r="A5" s="2" t="s">
        <v>22</v>
      </c>
      <c r="B5" s="3" t="s">
        <v>23</v>
      </c>
      <c r="C5" s="3" t="s">
        <v>24</v>
      </c>
      <c r="D5" s="3" t="s">
        <v>25</v>
      </c>
      <c r="E5" s="4" t="s">
        <v>45</v>
      </c>
    </row>
    <row r="6" spans="1:5">
      <c r="A6" s="5" t="s">
        <v>27</v>
      </c>
      <c r="B6" s="5" t="s">
        <v>28</v>
      </c>
      <c r="C6" s="5" t="s">
        <v>29</v>
      </c>
      <c r="D6" s="5" t="s">
        <v>30</v>
      </c>
      <c r="E6" s="5" t="s">
        <v>31</v>
      </c>
    </row>
    <row r="7" spans="1:5">
      <c r="A7" s="5" t="s">
        <v>32</v>
      </c>
      <c r="B7" s="5" t="s">
        <v>33</v>
      </c>
      <c r="C7" s="5" t="s">
        <v>34</v>
      </c>
      <c r="D7" s="5" t="s">
        <v>35</v>
      </c>
      <c r="E7" s="5" t="s">
        <v>31</v>
      </c>
    </row>
    <row r="8" spans="1:5">
      <c r="A8" s="5" t="s">
        <v>36</v>
      </c>
      <c r="B8" s="5" t="s">
        <v>37</v>
      </c>
      <c r="C8" s="5" t="s">
        <v>38</v>
      </c>
      <c r="D8" s="5" t="s">
        <v>39</v>
      </c>
      <c r="E8" s="5" t="s">
        <v>31</v>
      </c>
    </row>
    <row r="9" spans="1:5">
      <c r="A9" s="5" t="s">
        <v>40</v>
      </c>
      <c r="B9" s="5" t="s">
        <v>28</v>
      </c>
      <c r="C9" s="5" t="s">
        <v>29</v>
      </c>
      <c r="D9" s="5" t="s">
        <v>41</v>
      </c>
      <c r="E9" s="5" t="s">
        <v>31</v>
      </c>
    </row>
    <row r="10" spans="1:5">
      <c r="A10" s="5" t="s">
        <v>42</v>
      </c>
      <c r="B10" s="5" t="s">
        <v>33</v>
      </c>
      <c r="C10" s="5" t="s">
        <v>34</v>
      </c>
      <c r="D10" s="5" t="s">
        <v>35</v>
      </c>
      <c r="E10" s="5" t="s">
        <v>31</v>
      </c>
    </row>
    <row r="11" spans="1:5">
      <c r="A11" s="5" t="s">
        <v>43</v>
      </c>
      <c r="B11" s="5" t="s">
        <v>37</v>
      </c>
      <c r="C11" s="5" t="s">
        <v>38</v>
      </c>
      <c r="D11" s="5" t="s">
        <v>39</v>
      </c>
      <c r="E11" s="5" t="s">
        <v>31</v>
      </c>
    </row>
    <row r="12" spans="1:5">
      <c r="A12" s="8" t="s">
        <v>46</v>
      </c>
      <c r="B12" s="8" t="s">
        <v>28</v>
      </c>
      <c r="C12" s="8" t="s">
        <v>29</v>
      </c>
      <c r="D12" s="8" t="s">
        <v>47</v>
      </c>
      <c r="E12" s="8" t="s">
        <v>31</v>
      </c>
    </row>
    <row r="13" spans="1:5">
      <c r="A13" s="9" t="s">
        <v>48</v>
      </c>
      <c r="B13" s="9" t="s">
        <v>49</v>
      </c>
      <c r="C13" s="9" t="s">
        <v>50</v>
      </c>
      <c r="D13" s="9" t="s">
        <v>35</v>
      </c>
      <c r="E13" s="9" t="s">
        <v>31</v>
      </c>
    </row>
  </sheetData>
  <mergeCells count="2">
    <mergeCell ref="A1:E2"/>
    <mergeCell ref="A3:E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
  <sheetViews>
    <sheetView workbookViewId="0">
      <selection activeCell="B11" sqref="B11"/>
    </sheetView>
  </sheetViews>
  <sheetFormatPr defaultRowHeight="14"/>
  <cols>
    <col min="1" max="1" width="38" customWidth="1"/>
    <col min="2" max="2" width="42" customWidth="1"/>
  </cols>
  <sheetData>
    <row r="1" spans="1:6">
      <c r="A1" s="31" t="s">
        <v>51</v>
      </c>
      <c r="B1" s="31"/>
      <c r="C1" s="31"/>
      <c r="D1" s="31"/>
      <c r="E1" s="31"/>
      <c r="F1" s="31"/>
    </row>
    <row r="2" spans="1:6">
      <c r="A2" s="31"/>
      <c r="B2" s="31"/>
      <c r="C2" s="31"/>
      <c r="D2" s="31"/>
      <c r="E2" s="31"/>
      <c r="F2" s="31"/>
    </row>
    <row r="3" spans="1:6">
      <c r="A3" s="32" t="s">
        <v>52</v>
      </c>
      <c r="B3" s="32"/>
      <c r="C3" s="32"/>
      <c r="D3" s="32"/>
      <c r="E3" s="32"/>
      <c r="F3" s="32"/>
    </row>
    <row r="5" spans="1:6" ht="17.399999999999999" customHeight="1">
      <c r="A5" s="2" t="s">
        <v>53</v>
      </c>
      <c r="B5" s="4" t="s">
        <v>54</v>
      </c>
    </row>
    <row r="6" spans="1:6">
      <c r="A6" s="5" t="s">
        <v>28</v>
      </c>
      <c r="B6" s="5" t="s">
        <v>29</v>
      </c>
    </row>
    <row r="7" spans="1:6">
      <c r="A7" s="5" t="s">
        <v>33</v>
      </c>
      <c r="B7" s="5" t="s">
        <v>34</v>
      </c>
    </row>
    <row r="8" spans="1:6">
      <c r="A8" s="6" t="s">
        <v>37</v>
      </c>
      <c r="B8" s="6" t="s">
        <v>38</v>
      </c>
    </row>
    <row r="10" spans="1:6" ht="17.399999999999999" customHeight="1">
      <c r="A10" s="27" t="s">
        <v>55</v>
      </c>
      <c r="B10" s="27" t="s">
        <v>56</v>
      </c>
    </row>
    <row r="11" spans="1:6">
      <c r="A11" s="29" t="s">
        <v>169</v>
      </c>
      <c r="B11" s="30">
        <v>120</v>
      </c>
    </row>
    <row r="12" spans="1:6">
      <c r="A12" s="26" t="s">
        <v>57</v>
      </c>
      <c r="B12" s="26" t="s">
        <v>58</v>
      </c>
    </row>
    <row r="13" spans="1:6">
      <c r="A13" s="26" t="s">
        <v>59</v>
      </c>
      <c r="B13" s="26" t="s">
        <v>60</v>
      </c>
    </row>
    <row r="14" spans="1:6">
      <c r="A14" s="26" t="s">
        <v>61</v>
      </c>
      <c r="B14" s="26" t="s">
        <v>62</v>
      </c>
    </row>
    <row r="15" spans="1:6">
      <c r="A15" s="26" t="s">
        <v>63</v>
      </c>
      <c r="B15" s="26" t="s">
        <v>64</v>
      </c>
    </row>
    <row r="17" spans="1:6">
      <c r="A17" s="21"/>
      <c r="B17" s="28"/>
      <c r="C17" s="28"/>
      <c r="D17" s="28"/>
      <c r="E17" s="28"/>
      <c r="F17" s="28"/>
    </row>
    <row r="18" spans="1:6">
      <c r="A18" s="21"/>
      <c r="B18" s="28"/>
      <c r="C18" s="28"/>
      <c r="D18" s="28"/>
      <c r="E18" s="28"/>
      <c r="F18" s="28"/>
    </row>
  </sheetData>
  <mergeCells count="2">
    <mergeCell ref="A1:F2"/>
    <mergeCell ref="A3:F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
  <sheetViews>
    <sheetView topLeftCell="C1" workbookViewId="0">
      <selection activeCell="I7" sqref="I7"/>
    </sheetView>
  </sheetViews>
  <sheetFormatPr defaultRowHeight="14"/>
  <cols>
    <col min="1" max="1" width="14" customWidth="1"/>
    <col min="2" max="2" width="12" customWidth="1"/>
    <col min="3" max="3" width="20" customWidth="1"/>
    <col min="4" max="4" width="22" customWidth="1"/>
    <col min="5" max="5" width="14" customWidth="1"/>
    <col min="6" max="6" width="18" customWidth="1"/>
    <col min="7" max="7" width="20" customWidth="1"/>
    <col min="8" max="8" width="28" customWidth="1"/>
    <col min="9" max="9" width="14" customWidth="1"/>
  </cols>
  <sheetData>
    <row r="1" spans="1:9">
      <c r="A1" s="31" t="s">
        <v>65</v>
      </c>
      <c r="B1" s="31"/>
      <c r="C1" s="31"/>
      <c r="D1" s="31"/>
      <c r="E1" s="31"/>
      <c r="F1" s="31"/>
      <c r="G1" s="31"/>
      <c r="H1" s="31"/>
      <c r="I1" s="31"/>
    </row>
    <row r="2" spans="1:9">
      <c r="A2" s="31"/>
      <c r="B2" s="31"/>
      <c r="C2" s="31"/>
      <c r="D2" s="31"/>
      <c r="E2" s="31"/>
      <c r="F2" s="31"/>
      <c r="G2" s="31"/>
      <c r="H2" s="31"/>
      <c r="I2" s="31"/>
    </row>
    <row r="3" spans="1:9">
      <c r="A3" s="32" t="s">
        <v>171</v>
      </c>
      <c r="B3" s="32"/>
      <c r="C3" s="32"/>
      <c r="D3" s="32"/>
      <c r="E3" s="32"/>
      <c r="F3" s="32"/>
      <c r="G3" s="32"/>
      <c r="H3" s="32"/>
      <c r="I3" s="32"/>
    </row>
    <row r="5" spans="1:9" ht="17.399999999999999" customHeight="1">
      <c r="A5" s="2" t="s">
        <v>22</v>
      </c>
      <c r="B5" s="3" t="s">
        <v>23</v>
      </c>
      <c r="C5" s="3" t="s">
        <v>24</v>
      </c>
      <c r="D5" s="3" t="s">
        <v>25</v>
      </c>
      <c r="E5" s="3" t="s">
        <v>45</v>
      </c>
      <c r="F5" s="3" t="s">
        <v>66</v>
      </c>
      <c r="G5" s="3" t="s">
        <v>67</v>
      </c>
      <c r="H5" s="3" t="s">
        <v>68</v>
      </c>
      <c r="I5" s="4" t="s">
        <v>69</v>
      </c>
    </row>
    <row r="6" spans="1:9">
      <c r="A6" s="5" t="s">
        <v>27</v>
      </c>
      <c r="B6" s="5" t="s">
        <v>28</v>
      </c>
      <c r="C6" s="5" t="s">
        <v>29</v>
      </c>
      <c r="D6" s="5" t="s">
        <v>30</v>
      </c>
      <c r="E6" s="5" t="s">
        <v>31</v>
      </c>
      <c r="F6" s="5" t="str">
        <f>IF(COUNTIF('Detection Rules'!$A$6:$A$8,B6)&gt;0,"Approved","Unknown ID")</f>
        <v>Approved</v>
      </c>
      <c r="G6" s="5" t="str">
        <f>IF(LEFT(D6,6)="Speed=",IF(VALUE(SUBSTITUTE(D6,"Speed=",""))&gt;'Detection Rules'!$B$11,"Out of Range","Within Range"),"N/A")</f>
        <v>Within Range</v>
      </c>
      <c r="H6" s="5" t="str">
        <f t="shared" ref="H6:H13" si="0">IF(F6="Unknown ID","ALERT - UNKNOWN CAN ID",IF(G6="Out of Range","ALERT - ABNORMAL SPEED","NORMAL"))</f>
        <v>NORMAL</v>
      </c>
      <c r="I6" s="5" t="str">
        <f t="shared" ref="I6:I13" si="1">IF(H6="NORMAL","No","Yes")</f>
        <v>No</v>
      </c>
    </row>
    <row r="7" spans="1:9">
      <c r="A7" s="5" t="s">
        <v>32</v>
      </c>
      <c r="B7" s="5" t="s">
        <v>33</v>
      </c>
      <c r="C7" s="5" t="s">
        <v>34</v>
      </c>
      <c r="D7" s="5" t="s">
        <v>35</v>
      </c>
      <c r="E7" s="5" t="s">
        <v>31</v>
      </c>
      <c r="F7" s="5" t="str">
        <f>IF(COUNTIF('Detection Rules'!$A$6:$A$8,B7)&gt;0,"Approved","Unknown ID")</f>
        <v>Approved</v>
      </c>
      <c r="G7" s="5" t="str">
        <f>IF(LEFT(D7,6)="Speed=",IF(VALUE(SUBSTITUTE(D7,"Speed=",""))&gt;'Detection Rules'!$B$11,"Out of Range","Within Range"),"N/A")</f>
        <v>N/A</v>
      </c>
      <c r="H7" s="5" t="str">
        <f t="shared" si="0"/>
        <v>NORMAL</v>
      </c>
      <c r="I7" s="5" t="str">
        <f t="shared" si="1"/>
        <v>No</v>
      </c>
    </row>
    <row r="8" spans="1:9">
      <c r="A8" s="5" t="s">
        <v>36</v>
      </c>
      <c r="B8" s="5" t="s">
        <v>37</v>
      </c>
      <c r="C8" s="5" t="s">
        <v>38</v>
      </c>
      <c r="D8" s="5" t="s">
        <v>39</v>
      </c>
      <c r="E8" s="5" t="s">
        <v>31</v>
      </c>
      <c r="F8" s="5" t="str">
        <f>IF(COUNTIF('Detection Rules'!$A$6:$A$8,B8)&gt;0,"Approved","Unknown ID")</f>
        <v>Approved</v>
      </c>
      <c r="G8" s="5" t="str">
        <f>IF(LEFT(D8,6)="Speed=",IF(VALUE(SUBSTITUTE(D8,"Speed=",""))&gt;'Detection Rules'!$B$11,"Out of Range","Within Range"),"N/A")</f>
        <v>N/A</v>
      </c>
      <c r="H8" s="5" t="str">
        <f t="shared" si="0"/>
        <v>NORMAL</v>
      </c>
      <c r="I8" s="5" t="str">
        <f t="shared" si="1"/>
        <v>No</v>
      </c>
    </row>
    <row r="9" spans="1:9">
      <c r="A9" s="5" t="s">
        <v>40</v>
      </c>
      <c r="B9" s="5" t="s">
        <v>28</v>
      </c>
      <c r="C9" s="5" t="s">
        <v>29</v>
      </c>
      <c r="D9" s="5" t="s">
        <v>41</v>
      </c>
      <c r="E9" s="5" t="s">
        <v>31</v>
      </c>
      <c r="F9" s="5" t="str">
        <f>IF(COUNTIF('Detection Rules'!$A$6:$A$8,B9)&gt;0,"Approved","Unknown ID")</f>
        <v>Approved</v>
      </c>
      <c r="G9" s="5" t="str">
        <f>IF(LEFT(D9,6)="Speed=",IF(VALUE(SUBSTITUTE(D9,"Speed=",""))&gt;'Detection Rules'!$B$11,"Out of Range","Within Range"),"N/A")</f>
        <v>Within Range</v>
      </c>
      <c r="H9" s="5" t="str">
        <f t="shared" si="0"/>
        <v>NORMAL</v>
      </c>
      <c r="I9" s="5" t="str">
        <f t="shared" si="1"/>
        <v>No</v>
      </c>
    </row>
    <row r="10" spans="1:9">
      <c r="A10" s="5" t="s">
        <v>42</v>
      </c>
      <c r="B10" s="5" t="s">
        <v>33</v>
      </c>
      <c r="C10" s="5" t="s">
        <v>34</v>
      </c>
      <c r="D10" s="5" t="s">
        <v>35</v>
      </c>
      <c r="E10" s="5" t="s">
        <v>31</v>
      </c>
      <c r="F10" s="5" t="str">
        <f>IF(COUNTIF('Detection Rules'!$A$6:$A$8,B10)&gt;0,"Approved","Unknown ID")</f>
        <v>Approved</v>
      </c>
      <c r="G10" s="5" t="str">
        <f>IF(LEFT(D10,6)="Speed=",IF(VALUE(SUBSTITUTE(D10,"Speed=",""))&gt;'Detection Rules'!$B$11,"Out of Range","Within Range"),"N/A")</f>
        <v>N/A</v>
      </c>
      <c r="H10" s="5" t="str">
        <f t="shared" si="0"/>
        <v>NORMAL</v>
      </c>
      <c r="I10" s="5" t="str">
        <f t="shared" si="1"/>
        <v>No</v>
      </c>
    </row>
    <row r="11" spans="1:9">
      <c r="A11" s="5" t="s">
        <v>43</v>
      </c>
      <c r="B11" s="5" t="s">
        <v>37</v>
      </c>
      <c r="C11" s="5" t="s">
        <v>38</v>
      </c>
      <c r="D11" s="5" t="s">
        <v>39</v>
      </c>
      <c r="E11" s="5" t="s">
        <v>31</v>
      </c>
      <c r="F11" s="5" t="str">
        <f>IF(COUNTIF('Detection Rules'!$A$6:$A$8,B11)&gt;0,"Approved","Unknown ID")</f>
        <v>Approved</v>
      </c>
      <c r="G11" s="5" t="str">
        <f>IF(LEFT(D11,6)="Speed=",IF(VALUE(SUBSTITUTE(D11,"Speed=",""))&gt;'Detection Rules'!$B$11,"Out of Range","Within Range"),"N/A")</f>
        <v>N/A</v>
      </c>
      <c r="H11" s="5" t="str">
        <f t="shared" si="0"/>
        <v>NORMAL</v>
      </c>
      <c r="I11" s="5" t="str">
        <f t="shared" si="1"/>
        <v>No</v>
      </c>
    </row>
    <row r="12" spans="1:9">
      <c r="A12" s="5" t="s">
        <v>46</v>
      </c>
      <c r="B12" s="5" t="s">
        <v>28</v>
      </c>
      <c r="C12" s="5" t="s">
        <v>29</v>
      </c>
      <c r="D12" s="5" t="s">
        <v>47</v>
      </c>
      <c r="E12" s="5" t="s">
        <v>31</v>
      </c>
      <c r="F12" s="5" t="str">
        <f>IF(COUNTIF('Detection Rules'!$A$6:$A$8,B12)&gt;0,"Approved","Unknown ID")</f>
        <v>Approved</v>
      </c>
      <c r="G12" s="5" t="str">
        <f>IF(LEFT(D12,6)="Speed=",IF(VALUE(SUBSTITUTE(D12,"Speed=",""))&gt;'Detection Rules'!$B$11,"Out of Range","Within Range"),"N/A")</f>
        <v>Out of Range</v>
      </c>
      <c r="H12" s="5" t="str">
        <f t="shared" si="0"/>
        <v>ALERT - ABNORMAL SPEED</v>
      </c>
      <c r="I12" s="5" t="str">
        <f t="shared" si="1"/>
        <v>Yes</v>
      </c>
    </row>
    <row r="13" spans="1:9">
      <c r="A13" s="6" t="s">
        <v>48</v>
      </c>
      <c r="B13" s="6" t="s">
        <v>49</v>
      </c>
      <c r="C13" s="6" t="s">
        <v>50</v>
      </c>
      <c r="D13" s="6" t="s">
        <v>35</v>
      </c>
      <c r="E13" s="6" t="s">
        <v>31</v>
      </c>
      <c r="F13" s="6" t="str">
        <f>IF(COUNTIF('Detection Rules'!$A$6:$A$8,B13)&gt;0,"Approved","Unknown ID")</f>
        <v>Unknown ID</v>
      </c>
      <c r="G13" s="6" t="str">
        <f>IF(LEFT(D13,6)="Speed=",IF(VALUE(SUBSTITUTE(D13,"Speed=",""))&gt;'Detection Rules'!$B$11,"Out of Range","Within Range"),"N/A")</f>
        <v>N/A</v>
      </c>
      <c r="H13" s="6" t="str">
        <f t="shared" si="0"/>
        <v>ALERT - UNKNOWN CAN ID</v>
      </c>
      <c r="I13" s="6" t="str">
        <f t="shared" si="1"/>
        <v>Yes</v>
      </c>
    </row>
  </sheetData>
  <mergeCells count="2">
    <mergeCell ref="A1:I2"/>
    <mergeCell ref="A3:I3"/>
  </mergeCells>
  <conditionalFormatting sqref="F6:F13">
    <cfRule type="expression" dxfId="9" priority="1">
      <formula>F6="Unknown ID"</formula>
    </cfRule>
  </conditionalFormatting>
  <conditionalFormatting sqref="G6:G13">
    <cfRule type="expression" dxfId="8" priority="2">
      <formula>G6="Out of Range"</formula>
    </cfRule>
  </conditionalFormatting>
  <conditionalFormatting sqref="H6:H13">
    <cfRule type="expression" dxfId="7" priority="3">
      <formula>LEFT(H6,5)="ALERT"</formula>
    </cfRule>
    <cfRule type="expression" dxfId="6" priority="4">
      <formula>H6="NORMAL"</formula>
    </cfRule>
  </conditionalFormatting>
  <conditionalFormatting sqref="I6:I13">
    <cfRule type="expression" dxfId="5" priority="5">
      <formula>I6="Yes"</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6"/>
  <sheetViews>
    <sheetView workbookViewId="0">
      <selection activeCell="A3" sqref="A3:F3"/>
    </sheetView>
  </sheetViews>
  <sheetFormatPr defaultRowHeight="14"/>
  <cols>
    <col min="2" max="2" width="26" customWidth="1"/>
    <col min="3" max="5" width="20" customWidth="1"/>
    <col min="6" max="6" width="16" customWidth="1"/>
  </cols>
  <sheetData>
    <row r="1" spans="1:6">
      <c r="A1" s="31" t="s">
        <v>124</v>
      </c>
      <c r="B1" s="31"/>
      <c r="C1" s="31"/>
      <c r="D1" s="31"/>
      <c r="E1" s="31"/>
      <c r="F1" s="31"/>
    </row>
    <row r="2" spans="1:6">
      <c r="A2" s="31"/>
      <c r="B2" s="31"/>
      <c r="C2" s="31"/>
      <c r="D2" s="31"/>
      <c r="E2" s="31"/>
      <c r="F2" s="31"/>
    </row>
    <row r="3" spans="1:6">
      <c r="A3" s="32" t="s">
        <v>125</v>
      </c>
      <c r="B3" s="32"/>
      <c r="C3" s="32"/>
      <c r="D3" s="32"/>
      <c r="E3" s="32"/>
      <c r="F3" s="32"/>
    </row>
    <row r="6" spans="1:6" ht="20" customHeight="1">
      <c r="B6" s="2" t="s">
        <v>126</v>
      </c>
      <c r="C6" s="3" t="s">
        <v>127</v>
      </c>
      <c r="D6" s="3" t="s">
        <v>105</v>
      </c>
      <c r="E6" s="4" t="s">
        <v>92</v>
      </c>
    </row>
    <row r="7" spans="1:6" ht="20" customHeight="1">
      <c r="B7" s="1" t="s">
        <v>127</v>
      </c>
      <c r="C7" s="10" t="s">
        <v>127</v>
      </c>
      <c r="D7" s="11" t="s">
        <v>127</v>
      </c>
      <c r="E7" s="13" t="s">
        <v>105</v>
      </c>
    </row>
    <row r="8" spans="1:6" ht="20" customHeight="1">
      <c r="B8" s="1" t="s">
        <v>105</v>
      </c>
      <c r="C8" s="12" t="s">
        <v>127</v>
      </c>
      <c r="D8" s="14" t="s">
        <v>105</v>
      </c>
      <c r="E8" s="16" t="s">
        <v>92</v>
      </c>
    </row>
    <row r="9" spans="1:6" ht="20" customHeight="1">
      <c r="B9" s="1" t="s">
        <v>92</v>
      </c>
      <c r="C9" s="15" t="s">
        <v>105</v>
      </c>
      <c r="D9" s="17" t="s">
        <v>128</v>
      </c>
      <c r="E9" s="18" t="s">
        <v>92</v>
      </c>
    </row>
    <row r="12" spans="1:6">
      <c r="B12" s="33" t="s">
        <v>129</v>
      </c>
      <c r="C12" s="33"/>
      <c r="D12" s="33"/>
      <c r="E12" s="33"/>
      <c r="F12" s="33"/>
    </row>
    <row r="13" spans="1:6">
      <c r="B13" s="19" t="s">
        <v>130</v>
      </c>
      <c r="C13" s="5" t="s">
        <v>92</v>
      </c>
    </row>
    <row r="14" spans="1:6">
      <c r="B14" s="19" t="s">
        <v>131</v>
      </c>
      <c r="C14" s="5" t="s">
        <v>105</v>
      </c>
    </row>
    <row r="15" spans="1:6">
      <c r="B15" s="19" t="s">
        <v>132</v>
      </c>
      <c r="C15" s="7" t="s">
        <v>92</v>
      </c>
    </row>
    <row r="16" spans="1:6">
      <c r="B16" s="20" t="s">
        <v>133</v>
      </c>
      <c r="C16" s="6" t="s">
        <v>134</v>
      </c>
    </row>
  </sheetData>
  <mergeCells count="3">
    <mergeCell ref="A1:F2"/>
    <mergeCell ref="A3:F3"/>
    <mergeCell ref="B12:F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5"/>
  <sheetViews>
    <sheetView tabSelected="1" topLeftCell="C7" workbookViewId="0">
      <selection activeCell="D9" sqref="D9"/>
    </sheetView>
  </sheetViews>
  <sheetFormatPr defaultRowHeight="14"/>
  <cols>
    <col min="1" max="1" width="22" customWidth="1"/>
    <col min="2" max="2" width="30" customWidth="1"/>
    <col min="3" max="3" width="54" customWidth="1"/>
    <col min="4" max="4" width="32" customWidth="1"/>
    <col min="5" max="5" width="16" customWidth="1"/>
    <col min="6" max="6" width="42" customWidth="1"/>
  </cols>
  <sheetData>
    <row r="1" spans="1:6">
      <c r="A1" s="31" t="s">
        <v>70</v>
      </c>
      <c r="B1" s="31"/>
      <c r="C1" s="31"/>
      <c r="D1" s="31"/>
      <c r="E1" s="31"/>
      <c r="F1" s="31"/>
    </row>
    <row r="2" spans="1:6">
      <c r="A2" s="31"/>
      <c r="B2" s="31"/>
      <c r="C2" s="31"/>
      <c r="D2" s="31"/>
      <c r="E2" s="31"/>
      <c r="F2" s="31"/>
    </row>
    <row r="3" spans="1:6">
      <c r="A3" s="32" t="s">
        <v>71</v>
      </c>
      <c r="B3" s="32"/>
      <c r="C3" s="32"/>
      <c r="D3" s="32"/>
      <c r="E3" s="32"/>
      <c r="F3" s="32"/>
    </row>
    <row r="5" spans="1:6" ht="17.399999999999999" customHeight="1">
      <c r="A5" s="2" t="s">
        <v>72</v>
      </c>
      <c r="B5" s="3" t="s">
        <v>73</v>
      </c>
      <c r="C5" s="3" t="s">
        <v>170</v>
      </c>
      <c r="D5" s="3" t="s">
        <v>74</v>
      </c>
      <c r="E5" s="3" t="s">
        <v>75</v>
      </c>
      <c r="F5" s="4" t="s">
        <v>76</v>
      </c>
    </row>
    <row r="6" spans="1:6">
      <c r="A6" s="5" t="s">
        <v>77</v>
      </c>
      <c r="B6" s="5" t="s">
        <v>78</v>
      </c>
      <c r="C6" s="5" t="s">
        <v>79</v>
      </c>
      <c r="D6" s="5" t="s">
        <v>21</v>
      </c>
      <c r="E6" s="5" t="s">
        <v>80</v>
      </c>
      <c r="F6" s="5" t="s">
        <v>81</v>
      </c>
    </row>
    <row r="7" spans="1:6" ht="25">
      <c r="A7" s="5" t="s">
        <v>82</v>
      </c>
      <c r="B7" s="5" t="s">
        <v>83</v>
      </c>
      <c r="C7" s="5" t="s">
        <v>84</v>
      </c>
      <c r="D7" s="5" t="s">
        <v>85</v>
      </c>
      <c r="E7" s="5" t="s">
        <v>86</v>
      </c>
      <c r="F7" s="5" t="s">
        <v>87</v>
      </c>
    </row>
    <row r="8" spans="1:6">
      <c r="A8" s="5" t="s">
        <v>88</v>
      </c>
      <c r="B8" s="5" t="s">
        <v>89</v>
      </c>
      <c r="C8" s="5" t="s">
        <v>90</v>
      </c>
      <c r="D8" s="5" t="s">
        <v>91</v>
      </c>
      <c r="E8" s="5" t="s">
        <v>92</v>
      </c>
      <c r="F8" s="5" t="s">
        <v>174</v>
      </c>
    </row>
    <row r="9" spans="1:6">
      <c r="A9" s="5" t="s">
        <v>93</v>
      </c>
      <c r="B9" s="5" t="s">
        <v>89</v>
      </c>
      <c r="C9" s="5" t="s">
        <v>94</v>
      </c>
      <c r="D9" s="5" t="s">
        <v>95</v>
      </c>
      <c r="E9" s="5" t="s">
        <v>92</v>
      </c>
      <c r="F9" s="5" t="s">
        <v>96</v>
      </c>
    </row>
    <row r="10" spans="1:6" ht="25">
      <c r="A10" s="5" t="s">
        <v>97</v>
      </c>
      <c r="B10" s="5" t="s">
        <v>98</v>
      </c>
      <c r="C10" s="5" t="s">
        <v>99</v>
      </c>
      <c r="D10" s="5" t="s">
        <v>100</v>
      </c>
      <c r="E10" s="5" t="s">
        <v>92</v>
      </c>
      <c r="F10" s="5" t="s">
        <v>101</v>
      </c>
    </row>
    <row r="11" spans="1:6" ht="25">
      <c r="A11" s="5" t="s">
        <v>102</v>
      </c>
      <c r="B11" s="5" t="s">
        <v>103</v>
      </c>
      <c r="C11" s="5" t="s">
        <v>175</v>
      </c>
      <c r="D11" s="5" t="s">
        <v>104</v>
      </c>
      <c r="E11" s="5" t="s">
        <v>105</v>
      </c>
      <c r="F11" s="5" t="s">
        <v>106</v>
      </c>
    </row>
    <row r="12" spans="1:6">
      <c r="A12" s="5" t="s">
        <v>107</v>
      </c>
      <c r="B12" s="5" t="s">
        <v>108</v>
      </c>
      <c r="C12" s="5" t="s">
        <v>109</v>
      </c>
      <c r="D12" s="5" t="s">
        <v>110</v>
      </c>
      <c r="E12" s="5" t="s">
        <v>92</v>
      </c>
      <c r="F12" s="5" t="s">
        <v>111</v>
      </c>
    </row>
    <row r="13" spans="1:6" ht="25">
      <c r="A13" s="5" t="s">
        <v>176</v>
      </c>
      <c r="B13" s="5" t="s">
        <v>112</v>
      </c>
      <c r="C13" s="5" t="s">
        <v>113</v>
      </c>
      <c r="D13" s="5" t="s">
        <v>114</v>
      </c>
      <c r="E13" s="5" t="s">
        <v>1</v>
      </c>
      <c r="F13" s="5" t="s">
        <v>183</v>
      </c>
    </row>
    <row r="14" spans="1:6" ht="25">
      <c r="A14" s="5" t="s">
        <v>177</v>
      </c>
      <c r="B14" s="5" t="s">
        <v>115</v>
      </c>
      <c r="C14" s="5" t="s">
        <v>179</v>
      </c>
      <c r="D14" s="5" t="s">
        <v>116</v>
      </c>
      <c r="E14" s="5" t="s">
        <v>117</v>
      </c>
      <c r="F14" s="5" t="s">
        <v>118</v>
      </c>
    </row>
    <row r="15" spans="1:6" ht="25">
      <c r="A15" s="6" t="s">
        <v>178</v>
      </c>
      <c r="B15" s="6" t="s">
        <v>119</v>
      </c>
      <c r="C15" s="6" t="s">
        <v>120</v>
      </c>
      <c r="D15" s="6" t="s">
        <v>121</v>
      </c>
      <c r="E15" s="6" t="s">
        <v>122</v>
      </c>
      <c r="F15" s="6" t="s">
        <v>123</v>
      </c>
    </row>
  </sheetData>
  <mergeCells count="2">
    <mergeCell ref="A1:F2"/>
    <mergeCell ref="A3:F3"/>
  </mergeCells>
  <conditionalFormatting sqref="E6:E15">
    <cfRule type="expression" dxfId="4" priority="1">
      <formula>OR(E6="High",E6="HIGH",E6="High Priority")</formula>
    </cfRule>
    <cfRule type="expression" dxfId="3" priority="2">
      <formula>E6="Medium"</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1"/>
  <sheetViews>
    <sheetView workbookViewId="0">
      <selection activeCell="A11" sqref="A11"/>
    </sheetView>
  </sheetViews>
  <sheetFormatPr defaultRowHeight="14"/>
  <cols>
    <col min="1" max="1" width="12" customWidth="1"/>
    <col min="2" max="2" width="28" customWidth="1"/>
    <col min="3" max="3" width="38" customWidth="1"/>
    <col min="4" max="4" width="48" customWidth="1"/>
    <col min="5" max="5" width="12" customWidth="1"/>
    <col min="6" max="6" width="20" customWidth="1"/>
  </cols>
  <sheetData>
    <row r="1" spans="1:6">
      <c r="A1" s="31" t="s">
        <v>135</v>
      </c>
      <c r="B1" s="31"/>
      <c r="C1" s="31"/>
      <c r="D1" s="31"/>
      <c r="E1" s="31"/>
      <c r="F1" s="31"/>
    </row>
    <row r="2" spans="1:6">
      <c r="A2" s="31"/>
      <c r="B2" s="31"/>
      <c r="C2" s="31"/>
      <c r="D2" s="31"/>
      <c r="E2" s="31"/>
      <c r="F2" s="31"/>
    </row>
    <row r="3" spans="1:6">
      <c r="A3" s="32" t="s">
        <v>180</v>
      </c>
      <c r="B3" s="32"/>
      <c r="C3" s="32"/>
      <c r="D3" s="32"/>
      <c r="E3" s="32"/>
      <c r="F3" s="32"/>
    </row>
    <row r="5" spans="1:6" ht="17.399999999999999" customHeight="1">
      <c r="A5" s="2" t="s">
        <v>136</v>
      </c>
      <c r="B5" s="3" t="s">
        <v>137</v>
      </c>
      <c r="C5" s="3" t="s">
        <v>138</v>
      </c>
      <c r="D5" s="3" t="s">
        <v>139</v>
      </c>
      <c r="E5" s="3" t="s">
        <v>140</v>
      </c>
      <c r="F5" s="4" t="s">
        <v>26</v>
      </c>
    </row>
    <row r="6" spans="1:6" ht="25">
      <c r="A6" s="5" t="s">
        <v>141</v>
      </c>
      <c r="B6" s="5" t="s">
        <v>142</v>
      </c>
      <c r="C6" s="5" t="s">
        <v>143</v>
      </c>
      <c r="D6" s="5" t="s">
        <v>181</v>
      </c>
      <c r="E6" s="5" t="s">
        <v>92</v>
      </c>
      <c r="F6" s="5" t="s">
        <v>144</v>
      </c>
    </row>
    <row r="7" spans="1:6">
      <c r="A7" s="5" t="s">
        <v>145</v>
      </c>
      <c r="B7" s="5" t="s">
        <v>146</v>
      </c>
      <c r="C7" s="5" t="s">
        <v>147</v>
      </c>
      <c r="D7" s="5" t="s">
        <v>148</v>
      </c>
      <c r="E7" s="5" t="s">
        <v>92</v>
      </c>
      <c r="F7" s="5" t="s">
        <v>144</v>
      </c>
    </row>
    <row r="8" spans="1:6" ht="25">
      <c r="A8" s="5" t="s">
        <v>149</v>
      </c>
      <c r="B8" s="5" t="s">
        <v>150</v>
      </c>
      <c r="C8" s="5" t="s">
        <v>151</v>
      </c>
      <c r="D8" s="5" t="s">
        <v>152</v>
      </c>
      <c r="E8" s="5" t="s">
        <v>92</v>
      </c>
      <c r="F8" s="5" t="s">
        <v>153</v>
      </c>
    </row>
    <row r="9" spans="1:6">
      <c r="A9" s="5" t="s">
        <v>154</v>
      </c>
      <c r="B9" s="5" t="s">
        <v>156</v>
      </c>
      <c r="C9" s="5" t="s">
        <v>157</v>
      </c>
      <c r="D9" s="5" t="s">
        <v>182</v>
      </c>
      <c r="E9" s="5" t="s">
        <v>92</v>
      </c>
      <c r="F9" s="5" t="s">
        <v>153</v>
      </c>
    </row>
    <row r="10" spans="1:6" ht="25">
      <c r="A10" s="5" t="s">
        <v>155</v>
      </c>
      <c r="B10" s="5" t="s">
        <v>159</v>
      </c>
      <c r="C10" s="5" t="s">
        <v>160</v>
      </c>
      <c r="D10" s="5" t="s">
        <v>161</v>
      </c>
      <c r="E10" s="5" t="s">
        <v>105</v>
      </c>
      <c r="F10" s="5" t="s">
        <v>144</v>
      </c>
    </row>
    <row r="11" spans="1:6" ht="25">
      <c r="A11" s="6" t="s">
        <v>158</v>
      </c>
      <c r="B11" s="6" t="s">
        <v>162</v>
      </c>
      <c r="C11" s="6" t="s">
        <v>163</v>
      </c>
      <c r="D11" s="6" t="s">
        <v>164</v>
      </c>
      <c r="E11" s="6" t="s">
        <v>105</v>
      </c>
      <c r="F11" s="6" t="s">
        <v>144</v>
      </c>
    </row>
  </sheetData>
  <mergeCells count="2">
    <mergeCell ref="A1:F2"/>
    <mergeCell ref="A3:F3"/>
  </mergeCells>
  <conditionalFormatting sqref="E6:E11">
    <cfRule type="expression" dxfId="2" priority="1">
      <formula>E6="High"</formula>
    </cfRule>
    <cfRule type="expression" dxfId="1" priority="2">
      <formula>E6="Medium"</formula>
    </cfRule>
  </conditionalFormatting>
  <conditionalFormatting sqref="F6:F11">
    <cfRule type="expression" dxfId="0" priority="3">
      <formula>F6="Implemented in Lab"</formula>
    </cfRule>
  </conditionalFormatting>
  <dataValidations count="1">
    <dataValidation type="list" sqref="F6:F11" xr:uid="{00000000-0002-0000-0700-000000000000}">
      <formula1>"Implemented in Lab,Recommended,Planned"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Executive Summary</vt:lpstr>
      <vt:lpstr>Normal CAN Baseline</vt:lpstr>
      <vt:lpstr>Attacked CAN Data</vt:lpstr>
      <vt:lpstr>Detection Rules</vt:lpstr>
      <vt:lpstr>Detection Results</vt:lpstr>
      <vt:lpstr>Risk Matrix</vt:lpstr>
      <vt:lpstr>TARA Assessment</vt:lpstr>
      <vt:lpstr>Security Controls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Pratik Shirsat</cp:lastModifiedBy>
  <dcterms:modified xsi:type="dcterms:W3CDTF">2026-09-08T19:41:32Z</dcterms:modified>
</cp:coreProperties>
</file>